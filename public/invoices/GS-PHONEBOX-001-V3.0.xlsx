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;[Red](&quot;$&quot;#,##0);&quot;-&quot;"/>
    <numFmt numFmtId="165" formatCode="&quot;$&quot;#,##0;(&quot;$&quot;#,##0);&quot;-&quot;"/>
  </numFmts>
  <fonts count="20">
    <font>
      <name val="Calibri"/>
      <family val="2"/>
      <color theme="1"/>
      <sz val="11"/>
      <scheme val="minor"/>
    </font>
    <font>
      <name val="Arial"/>
      <b val="1"/>
      <color rgb="001A1A1A"/>
      <sz val="20"/>
    </font>
    <font>
      <name val="Arial"/>
      <b val="1"/>
      <color rgb="00D4AF37"/>
      <sz val="22"/>
    </font>
    <font>
      <name val="Arial"/>
      <color rgb="00555555"/>
      <sz val="10"/>
    </font>
    <font>
      <name val="Arial"/>
      <b val="1"/>
      <color rgb="001A1A1A"/>
      <sz val="11"/>
    </font>
    <font>
      <name val="Arial"/>
      <b val="1"/>
      <color rgb="00D4AF37"/>
      <sz val="9"/>
    </font>
    <font>
      <name val="Arial"/>
      <b val="1"/>
      <color rgb="001A1A1A"/>
      <sz val="12"/>
    </font>
    <font>
      <name val="Arial"/>
      <b val="1"/>
      <color rgb="00FFFFFF"/>
      <sz val="10"/>
    </font>
    <font>
      <name val="Arial"/>
      <b val="1"/>
      <color rgb="00D4AF37"/>
      <sz val="10"/>
    </font>
    <font>
      <name val="Arial"/>
      <color rgb="001A1A1A"/>
      <sz val="10"/>
    </font>
    <font>
      <name val="Arial"/>
      <b val="1"/>
      <i val="1"/>
      <color rgb="001A1A1A"/>
      <sz val="10"/>
    </font>
    <font>
      <name val="Arial"/>
      <b val="1"/>
      <i val="1"/>
      <color rgb="001A1A1A"/>
      <sz val="11"/>
    </font>
    <font>
      <name val="Arial"/>
      <b val="1"/>
      <color rgb="002E7D5B"/>
      <sz val="10"/>
    </font>
    <font>
      <name val="Arial"/>
      <color rgb="002E7D5B"/>
      <sz val="10"/>
    </font>
    <font>
      <name val="Arial"/>
      <b val="1"/>
      <color rgb="001A1A1A"/>
      <sz val="14"/>
    </font>
    <font>
      <name val="Arial"/>
      <i val="1"/>
      <color rgb="00555555"/>
      <sz val="10"/>
    </font>
    <font>
      <name val="Arial"/>
      <b val="1"/>
      <color rgb="00FFFFFF"/>
      <sz val="11"/>
    </font>
    <font>
      <name val="Arial"/>
      <b val="1"/>
      <color rgb="00D4AF37"/>
      <sz val="11"/>
    </font>
    <font>
      <name val="Arial"/>
      <color rgb="00555555"/>
      <sz val="9"/>
    </font>
    <font>
      <name val="Arial"/>
      <i val="1"/>
      <color rgb="00888888"/>
      <sz val="8"/>
    </font>
  </fonts>
  <fills count="7">
    <fill>
      <patternFill/>
    </fill>
    <fill>
      <patternFill patternType="gray125"/>
    </fill>
    <fill>
      <patternFill patternType="solid">
        <fgColor rgb="00D4AF37"/>
      </patternFill>
    </fill>
    <fill>
      <patternFill patternType="solid">
        <fgColor rgb="00F4F4F4"/>
      </patternFill>
    </fill>
    <fill>
      <patternFill patternType="solid">
        <fgColor rgb="001A1A1A"/>
      </patternFill>
    </fill>
    <fill>
      <patternFill patternType="solid">
        <fgColor rgb="00FAFAFA"/>
      </patternFill>
    </fill>
    <fill>
      <patternFill patternType="solid">
        <fgColor rgb="00F5E9C4"/>
      </patternFill>
    </fill>
  </fills>
  <borders count="5">
    <border>
      <left/>
      <right/>
      <top/>
      <bottom/>
      <diagonal/>
    </border>
    <border>
      <top style="thin">
        <color rgb="00D4AF37"/>
      </top>
      <bottom style="thin">
        <color rgb="00D4AF37"/>
      </bottom>
    </border>
    <border>
      <bottom style="thin">
        <color rgb="00BFBFBF"/>
      </bottom>
    </border>
    <border>
      <top style="thin">
        <color rgb="00BFBFBF"/>
      </top>
      <bottom style="thin">
        <color rgb="00BFBFBF"/>
      </bottom>
    </border>
    <border>
      <top style="thin">
        <color rgb="002E7D5B"/>
      </top>
      <bottom style="thin">
        <color rgb="002E7D5B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pivotButton="0" quotePrefix="0" xfId="0"/>
    <xf numFmtId="0" fontId="4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5" fillId="3" borderId="0" pivotButton="0" quotePrefix="0" xfId="0"/>
    <xf numFmtId="0" fontId="5" fillId="3" borderId="0" applyAlignment="1" pivotButton="0" quotePrefix="0" xfId="0">
      <alignment horizontal="right"/>
    </xf>
    <xf numFmtId="0" fontId="6" fillId="0" borderId="0" pivotButton="0" quotePrefix="0" xfId="0"/>
    <xf numFmtId="0" fontId="6" fillId="0" borderId="0" applyAlignment="1" pivotButton="0" quotePrefix="0" xfId="0">
      <alignment horizontal="right"/>
    </xf>
    <xf numFmtId="0" fontId="7" fillId="4" borderId="0" applyAlignment="1" pivotButton="0" quotePrefix="0" xfId="0">
      <alignment horizontal="left" vertical="center" indent="1"/>
    </xf>
    <xf numFmtId="0" fontId="7" fillId="4" borderId="0" applyAlignment="1" pivotButton="0" quotePrefix="0" xfId="0">
      <alignment horizontal="right" vertical="center" indent="1"/>
    </xf>
    <xf numFmtId="0" fontId="8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0" fontId="9" fillId="0" borderId="2" applyAlignment="1" pivotButton="0" quotePrefix="0" xfId="0">
      <alignment horizontal="left" vertical="center" wrapText="1" indent="2"/>
    </xf>
    <xf numFmtId="164" fontId="9" fillId="0" borderId="2" applyAlignment="1" pivotButton="0" quotePrefix="0" xfId="0">
      <alignment horizontal="right" vertical="center" indent="1"/>
    </xf>
    <xf numFmtId="0" fontId="10" fillId="5" borderId="3" applyAlignment="1" pivotButton="0" quotePrefix="0" xfId="0">
      <alignment horizontal="right" vertical="center" indent="1"/>
    </xf>
    <xf numFmtId="164" fontId="11" fillId="5" borderId="3" applyAlignment="1" pivotButton="0" quotePrefix="0" xfId="0">
      <alignment horizontal="right" vertical="center" indent="1"/>
    </xf>
    <xf numFmtId="0" fontId="12" fillId="3" borderId="4" applyAlignment="1" pivotButton="0" quotePrefix="0" xfId="0">
      <alignment horizontal="left" vertical="center" indent="1"/>
    </xf>
    <xf numFmtId="0" fontId="0" fillId="3" borderId="4" pivotButton="0" quotePrefix="0" xfId="0"/>
    <xf numFmtId="0" fontId="13" fillId="0" borderId="2" applyAlignment="1" pivotButton="0" quotePrefix="0" xfId="0">
      <alignment horizontal="left" vertical="center" wrapText="1" indent="2"/>
    </xf>
    <xf numFmtId="165" fontId="13" fillId="0" borderId="2" applyAlignment="1" pivotButton="0" quotePrefix="0" xfId="0">
      <alignment horizontal="right" vertical="center" indent="1"/>
    </xf>
    <xf numFmtId="0" fontId="4" fillId="0" borderId="2" applyAlignment="1" pivotButton="0" quotePrefix="0" xfId="0">
      <alignment horizontal="right" vertical="center" indent="1"/>
    </xf>
    <xf numFmtId="164" fontId="4" fillId="0" borderId="2" applyAlignment="1" pivotButton="0" quotePrefix="0" xfId="0">
      <alignment horizontal="right" vertical="center" indent="1"/>
    </xf>
    <xf numFmtId="0" fontId="13" fillId="0" borderId="2" applyAlignment="1" pivotButton="0" quotePrefix="0" xfId="0">
      <alignment horizontal="right" vertical="center" indent="1"/>
    </xf>
    <xf numFmtId="0" fontId="6" fillId="6" borderId="1" applyAlignment="1" pivotButton="0" quotePrefix="0" xfId="0">
      <alignment horizontal="right" vertical="center" indent="1"/>
    </xf>
    <xf numFmtId="164" fontId="14" fillId="6" borderId="1" applyAlignment="1" pivotButton="0" quotePrefix="0" xfId="0">
      <alignment horizontal="right" vertical="center" indent="1"/>
    </xf>
    <xf numFmtId="0" fontId="15" fillId="0" borderId="0" applyAlignment="1" pivotButton="0" quotePrefix="0" xfId="0">
      <alignment horizontal="right" vertical="center" indent="1"/>
    </xf>
    <xf numFmtId="0" fontId="16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164" fontId="17" fillId="0" borderId="2" applyAlignment="1" pivotButton="0" quotePrefix="0" xfId="0">
      <alignment horizontal="right" vertical="center" indent="1"/>
    </xf>
    <xf numFmtId="0" fontId="15" fillId="0" borderId="0" applyAlignment="1" pivotButton="0" quotePrefix="0" xfId="0">
      <alignment horizontal="left" vertical="center" wrapText="1" indent="2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8" fillId="0" borderId="0" applyAlignment="1" pivotButton="0" quotePrefix="0" xfId="0">
      <alignment horizontal="left" vertical="center" wrapText="1" indent="1"/>
    </xf>
    <xf numFmtId="0" fontId="19" fillId="0" borderId="0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D82"/>
  <sheetViews>
    <sheetView workbookViewId="0">
      <selection activeCell="A1" sqref="A1"/>
    </sheetView>
  </sheetViews>
  <sheetFormatPr baseColWidth="8" defaultRowHeight="15"/>
  <cols>
    <col width="4" customWidth="1" min="1" max="1"/>
    <col width="64" customWidth="1" min="2" max="2"/>
    <col width="18" customWidth="1" min="3" max="3"/>
    <col width="4" customWidth="1" min="4" max="4"/>
  </cols>
  <sheetData>
    <row r="1" ht="8" customHeight="1"/>
    <row r="2" ht="6" customHeight="1">
      <c r="A2" s="1" t="inlineStr"/>
      <c r="B2" s="1" t="inlineStr"/>
      <c r="C2" s="1" t="inlineStr"/>
      <c r="D2" s="1" t="inlineStr"/>
    </row>
    <row r="4" ht="28" customHeight="1">
      <c r="B4" s="2" t="inlineStr">
        <is>
          <t>AGORA GRAPHICS, LLC</t>
        </is>
      </c>
      <c r="C4" s="3" t="inlineStr">
        <is>
          <t>INVOICE</t>
        </is>
      </c>
    </row>
    <row r="5">
      <c r="B5" s="4" t="inlineStr">
        <is>
          <t>1440 Church St, Bohemia, NY 11716</t>
        </is>
      </c>
      <c r="C5" s="5" t="inlineStr">
        <is>
          <t>GS-PHONEBOX-001 V3.0</t>
        </is>
      </c>
    </row>
    <row r="6">
      <c r="B6" s="4" t="inlineStr">
        <is>
          <t>+1 (516) 283-0363  •  mike@agoragraphics.com</t>
        </is>
      </c>
      <c r="C6" s="6" t="inlineStr">
        <is>
          <t>Issue Date: April 29, 2026</t>
        </is>
      </c>
    </row>
    <row r="7">
      <c r="B7" s="4" t="inlineStr">
        <is>
          <t>experienceagora.com</t>
        </is>
      </c>
      <c r="C7" s="6" t="inlineStr">
        <is>
          <t>Activation: Friday, July 17, 2026</t>
        </is>
      </c>
    </row>
    <row r="8" ht="8" customHeight="1"/>
    <row r="9">
      <c r="B9" s="7" t="inlineStr">
        <is>
          <t>BILL TO</t>
        </is>
      </c>
      <c r="C9" s="8" t="inlineStr">
        <is>
          <t>PROJECT</t>
        </is>
      </c>
    </row>
    <row r="10">
      <c r="B10" s="9" t="inlineStr">
        <is>
          <t>Gymshark Ltd.</t>
        </is>
      </c>
      <c r="C10" s="10" t="inlineStr">
        <is>
          <t>Gymshark Phone Box</t>
        </is>
      </c>
    </row>
    <row r="11">
      <c r="B11" s="4" t="inlineStr">
        <is>
          <t>Billing contact / address: TBC by Client</t>
        </is>
      </c>
      <c r="C11" s="6" t="inlineStr">
        <is>
          <t>Lincoln Road Activation + Logistics to NYC</t>
        </is>
      </c>
    </row>
    <row r="12">
      <c r="B12" s="4" t="inlineStr">
        <is>
          <t>c/o Ominto Studio (creative agency)</t>
        </is>
      </c>
      <c r="C12" s="6" t="inlineStr">
        <is>
          <t>Venue: Lincoln Road Mall, Miami Beach</t>
        </is>
      </c>
    </row>
    <row r="13" ht="12" customHeight="1"/>
    <row r="14" ht="20" customHeight="1">
      <c r="B14" s="11" t="inlineStr">
        <is>
          <t>DESCRIPTION</t>
        </is>
      </c>
      <c r="C14" s="12" t="inlineStr">
        <is>
          <t>AMOUNT (USD)</t>
        </is>
      </c>
    </row>
    <row r="15" ht="18" customHeight="1">
      <c r="B15" s="13" t="inlineStr">
        <is>
          <t>COMPONENTS — THE PHONE BOX</t>
        </is>
      </c>
      <c r="C15" s="14" t="n"/>
    </row>
    <row r="16" ht="18" customHeight="1">
      <c r="B16" s="15" t="inlineStr">
        <is>
          <t>Phone Box Structural Shell — custom fabrication, marine-grade paint, two-piece modular</t>
        </is>
      </c>
      <c r="C16" s="16" t="n">
        <v>14500</v>
      </c>
    </row>
    <row r="17" ht="18" customHeight="1">
      <c r="B17" s="15" t="inlineStr">
        <is>
          <t>4-Sided Illuminated Lightbox Signage — LED backlit, all four faces</t>
        </is>
      </c>
      <c r="C17" s="16" t="n">
        <v>6800</v>
      </c>
    </row>
    <row r="18" ht="18" customHeight="1">
      <c r="B18" s="15" t="inlineStr">
        <is>
          <t>Glass &amp; Semi-Transparent Vinyl Panels — front door &amp; sides</t>
        </is>
      </c>
      <c r="C18" s="16" t="n">
        <v>2900</v>
      </c>
    </row>
    <row r="19" ht="18" customHeight="1">
      <c r="B19" s="15" t="inlineStr">
        <is>
          <t>Painted Pink Interior (V3 — paint, not vinyl) — four-wall matte paint, dimensional bum mirror</t>
        </is>
      </c>
      <c r="C19" s="16" t="n">
        <v>3800</v>
      </c>
    </row>
    <row r="20" ht="18" customHeight="1">
      <c r="B20" s="15" t="inlineStr">
        <is>
          <t>Concealed Sliding Prize Door — motorised, colour-matched, no visible handle</t>
        </is>
      </c>
      <c r="C20" s="16" t="n">
        <v>3400</v>
      </c>
    </row>
    <row r="21" ht="18" customHeight="1">
      <c r="B21" s="15" t="inlineStr">
        <is>
          <t>Interior Finishes — chequer-plate floor, dome light, guest seat, branded analogue phone</t>
        </is>
      </c>
      <c r="C21" s="16" t="n">
        <v>2750</v>
      </c>
    </row>
    <row r="22" ht="18" customHeight="1">
      <c r="B22" s="15" t="inlineStr">
        <is>
          <t>Engineering, Structural Calcs &amp; Shop Drawings — wind-load, ballast, electrical, CAD</t>
        </is>
      </c>
      <c r="C22" s="16" t="n">
        <v>4000</v>
      </c>
    </row>
    <row r="23" ht="22" customHeight="1">
      <c r="B23" s="17" t="inlineStr">
        <is>
          <t>Subtotal — THE PHONE BOX</t>
        </is>
      </c>
      <c r="C23" s="18">
        <f>SUM(C16:C22)</f>
        <v/>
      </c>
    </row>
    <row r="25" ht="18" customHeight="1">
      <c r="B25" s="13" t="inlineStr">
        <is>
          <t>COMPONENTS — INTERACTIVE TECH + CONTENT CAPTURE</t>
        </is>
      </c>
      <c r="C25" s="14" t="n"/>
    </row>
    <row r="26" ht="18" customHeight="1">
      <c r="B26" s="15" t="inlineStr">
        <is>
          <t>Pre-Recorded Call-Response IVR System — multi-branch scripting, licensed voice, QA</t>
        </is>
      </c>
      <c r="C26" s="16" t="n">
        <v>5500</v>
      </c>
    </row>
    <row r="27" ht="18" customHeight="1">
      <c r="B27" s="15" t="inlineStr">
        <is>
          <t>Live Call / Walkie-Talkie Relay — encrypted, backup uplink, producer headset</t>
        </is>
      </c>
      <c r="C27" s="16" t="n">
        <v>2900</v>
      </c>
    </row>
    <row r="28" ht="18" customHeight="1">
      <c r="B28" s="15" t="inlineStr">
        <is>
          <t>Ceiling Dual Camera System — 4K, cloud storage, live-preview, disclosure signage</t>
        </is>
      </c>
      <c r="C28" s="16" t="n">
        <v>4500</v>
      </c>
    </row>
    <row r="29" ht="18" customHeight="1">
      <c r="B29" s="15" t="inlineStr">
        <is>
          <t>Selfie &amp; Belfie Mobile Mounts — motion-triggered ring-light inserts, dual-height</t>
        </is>
      </c>
      <c r="C29" s="16" t="n">
        <v>1800</v>
      </c>
    </row>
    <row r="30" ht="18" customHeight="1">
      <c r="B30" s="15" t="inlineStr">
        <is>
          <t>Thermal Voucher Printer &amp; Shelf Mount — dual-speed, wrapped, redundant rolls</t>
        </is>
      </c>
      <c r="C30" s="16" t="n">
        <v>2800</v>
      </c>
    </row>
    <row r="31" ht="18" customHeight="1">
      <c r="B31" s="15" t="inlineStr">
        <is>
          <t>Content Capture &amp; Media Handoff Platform — cloud workspace, proxies, 48hr handoff</t>
        </is>
      </c>
      <c r="C31" s="16" t="n">
        <v>2500</v>
      </c>
    </row>
    <row r="32" ht="22" customHeight="1">
      <c r="B32" s="17" t="inlineStr">
        <is>
          <t>Subtotal — INTERACTIVE TECH + CONTENT CAPTURE</t>
        </is>
      </c>
      <c r="C32" s="18">
        <f>SUM(C26:C31)</f>
        <v/>
      </c>
    </row>
    <row r="34" ht="18" customHeight="1">
      <c r="B34" s="13" t="inlineStr">
        <is>
          <t>COMPONENTS — BRANDING, SIGNAGE &amp; CONSUMABLES</t>
        </is>
      </c>
      <c r="C34" s="14" t="n"/>
    </row>
    <row r="35" ht="18" customHeight="1">
      <c r="B35" s="15" t="inlineStr">
        <is>
          <t>Disclosure &amp; Wayfinding Signage — camera-disclosure, queue decals, brand callouts</t>
        </is>
      </c>
      <c r="C35" s="16" t="n">
        <v>950</v>
      </c>
    </row>
    <row r="36" ht="18" customHeight="1">
      <c r="B36" s="15" t="inlineStr">
        <is>
          <t>Venue Dressing Kit — A-frame signage, branded stanchions, pavement decals</t>
        </is>
      </c>
      <c r="C36" s="16" t="n">
        <v>1750</v>
      </c>
    </row>
    <row r="37" ht="18" customHeight="1">
      <c r="B37" s="15" t="inlineStr">
        <is>
          <t>Daily Consumables &amp; Spares Kit — voucher rolls, cleaning, touch-up paint, gaffer</t>
        </is>
      </c>
      <c r="C37" s="16" t="n">
        <v>2500</v>
      </c>
    </row>
    <row r="38" ht="22" customHeight="1">
      <c r="B38" s="17" t="inlineStr">
        <is>
          <t>Subtotal — BRANDING, SIGNAGE &amp; CONSUMABLES</t>
        </is>
      </c>
      <c r="C38" s="18">
        <f>SUM(C35:C37)</f>
        <v/>
      </c>
    </row>
    <row r="40" ht="18" customHeight="1">
      <c r="B40" s="13" t="inlineStr">
        <is>
          <t>SERVICES — THE ACTIVATION (LINCOLN ROAD)</t>
        </is>
      </c>
      <c r="C40" s="14" t="n"/>
    </row>
    <row r="41" ht="18" customHeight="1">
      <c r="B41" s="15" t="inlineStr">
        <is>
          <t>Inbound Logistics &amp; Install — truck, rigging, 3-person crew, permit-window supervisor</t>
        </is>
      </c>
      <c r="C41" s="16" t="n">
        <v>5800</v>
      </c>
    </row>
    <row r="42" ht="18" customHeight="1">
      <c r="B42" s="15" t="inlineStr">
        <is>
          <t>On-Site Technicians — lead + rotating second, full operating window</t>
        </is>
      </c>
      <c r="C42" s="16" t="n">
        <v>2800</v>
      </c>
    </row>
    <row r="43" ht="18" customHeight="1">
      <c r="B43" s="15" t="inlineStr">
        <is>
          <t>Same-Day Strike &amp; Outbound Freight — full de-install, crated freight, site restoration</t>
        </is>
      </c>
      <c r="C43" s="16" t="n">
        <v>3300</v>
      </c>
    </row>
    <row r="44" ht="22" customHeight="1">
      <c r="B44" s="17" t="inlineStr">
        <is>
          <t>Subtotal — THE ACTIVATION (LINCOLN ROAD)</t>
        </is>
      </c>
      <c r="C44" s="18">
        <f>SUM(C41:C43)</f>
        <v/>
      </c>
    </row>
    <row r="46" ht="18" customHeight="1">
      <c r="B46" s="13" t="inlineStr">
        <is>
          <t>SERVICES — LOGISTICS TO NYC (POST-ACTIVATION)</t>
        </is>
      </c>
      <c r="C46" s="14" t="n"/>
    </row>
    <row r="47" ht="18" customHeight="1">
      <c r="B47" s="15" t="inlineStr">
        <is>
          <t>Climate-Controlled Warehouse Hold — between Miami strike and NYC handoff</t>
        </is>
      </c>
      <c r="C47" s="16" t="n">
        <v>2400</v>
      </c>
    </row>
    <row r="48" ht="18" customHeight="1">
      <c r="B48" s="15" t="inlineStr">
        <is>
          <t>Inter-City Freight (Miami → NYC, climate truck, GPS tracking, 2-driver rotation)</t>
        </is>
      </c>
      <c r="C48" s="16" t="n">
        <v>5500</v>
      </c>
    </row>
    <row r="49" ht="18" customHeight="1">
      <c r="B49" s="15" t="inlineStr">
        <is>
          <t>Light Touchup After First Activation (V3 — new line) — single cosmetic refurbish pass</t>
        </is>
      </c>
      <c r="C49" s="16" t="n">
        <v>3000</v>
      </c>
    </row>
    <row r="50" ht="18" customHeight="1">
      <c r="B50" s="15" t="inlineStr">
        <is>
          <t>Final Delivery to NYC Handoff Destination — climate-controlled final-mile, asset transfer only</t>
        </is>
      </c>
      <c r="C50" s="16" t="n">
        <v>2000</v>
      </c>
    </row>
    <row r="51" ht="22" customHeight="1">
      <c r="B51" s="17" t="inlineStr">
        <is>
          <t>Subtotal — LOGISTICS TO NYC (POST-ACTIVATION)</t>
        </is>
      </c>
      <c r="C51" s="18">
        <f>SUM(C47:C50)</f>
        <v/>
      </c>
    </row>
    <row r="53" ht="18" customHeight="1">
      <c r="B53" s="13" t="inlineStr">
        <is>
          <t>SERVICES — PROJECT MANAGEMENT &amp; CLIENT SERVICES</t>
        </is>
      </c>
      <c r="C53" s="14" t="n"/>
    </row>
    <row r="54" ht="18" customHeight="1">
      <c r="B54" s="15" t="inlineStr">
        <is>
          <t>Project Management Fee — full engagement, dedicated producer, weekly status, COI coordination, post-event reconciliation</t>
        </is>
      </c>
      <c r="C54" s="16" t="n">
        <v>12000</v>
      </c>
    </row>
    <row r="55" ht="22" customHeight="1">
      <c r="B55" s="17" t="inlineStr">
        <is>
          <t>Subtotal — PROJECT MANAGEMENT &amp; CLIENT SERVICES</t>
        </is>
      </c>
      <c r="C55" s="18">
        <f>SUM(C54:C54)</f>
        <v/>
      </c>
    </row>
    <row r="57" ht="18" customHeight="1">
      <c r="B57" s="19" t="inlineStr">
        <is>
          <t>CREDITS</t>
        </is>
      </c>
      <c r="C57" s="20" t="n"/>
    </row>
    <row r="58" ht="18" customHeight="1">
      <c r="B58" s="21" t="inlineStr">
        <is>
          <t>Preferred Partner Credit — applied against V3.0 production investment</t>
        </is>
      </c>
      <c r="C58" s="22" t="n">
        <v>-5000</v>
      </c>
    </row>
    <row r="60" ht="22" customHeight="1">
      <c r="B60" s="23" t="inlineStr">
        <is>
          <t>Gross Production Investment</t>
        </is>
      </c>
      <c r="C60" s="24">
        <f>C23+C32+C38+C44+C51+C55</f>
        <v/>
      </c>
    </row>
    <row r="61" ht="20" customHeight="1">
      <c r="B61" s="25" t="inlineStr">
        <is>
          <t>Less: Preferred Partner Credit</t>
        </is>
      </c>
      <c r="C61" s="22">
        <f>C58</f>
        <v/>
      </c>
    </row>
    <row r="62" ht="28" customHeight="1">
      <c r="B62" s="26" t="inlineStr">
        <is>
          <t>NET PRODUCTION INVESTMENT</t>
        </is>
      </c>
      <c r="C62" s="27">
        <f>C60+C58</f>
        <v/>
      </c>
    </row>
    <row r="64" ht="18" customHeight="1">
      <c r="B64" s="28" t="inlineStr">
        <is>
          <t>+ Lincoln Road Venue Pass-Through (est.) — billed separately at cost</t>
        </is>
      </c>
      <c r="C64" s="28" t="inlineStr">
        <is>
          <t>$5,000 – $10,000</t>
        </is>
      </c>
    </row>
    <row r="65" ht="22" customHeight="1">
      <c r="B65" s="23" t="inlineStr">
        <is>
          <t>Estimated Total All-In — Low (incl. $5,000 venue pass-through)</t>
        </is>
      </c>
      <c r="C65" s="24">
        <f>C62+5000</f>
        <v/>
      </c>
    </row>
    <row r="66" ht="22" customHeight="1">
      <c r="B66" s="23" t="inlineStr">
        <is>
          <t>Estimated Total All-In — High (incl. $10,000 venue pass-through)</t>
        </is>
      </c>
      <c r="C66" s="24">
        <f>C62+10000</f>
        <v/>
      </c>
    </row>
    <row r="68" ht="22" customHeight="1">
      <c r="B68" s="29" t="inlineStr">
        <is>
          <t>PAYMENT TERMS — 60 / 40</t>
        </is>
      </c>
      <c r="C68" s="30" t="n"/>
    </row>
    <row r="69" ht="24" customHeight="1">
      <c r="B69" s="15" t="inlineStr">
        <is>
          <t>60% Deposit — due upon Client's written approval of Scope of Work</t>
        </is>
      </c>
      <c r="C69" s="31">
        <f>ROUND(C62*0.6,0)</f>
        <v/>
      </c>
    </row>
    <row r="70" ht="24" customHeight="1">
      <c r="B70" s="15" t="inlineStr">
        <is>
          <t>40% Balance — due Friday, July 10, 2026 (5 business days prior to Lincoln Road install)</t>
        </is>
      </c>
      <c r="C70" s="31">
        <f>C62-C69</f>
        <v/>
      </c>
    </row>
    <row r="71" ht="22" customHeight="1">
      <c r="B71" s="32" t="inlineStr">
        <is>
          <t>Payment Method — ACH or Domestic Wire Transfer Only (banking details issued upon SoW approval)</t>
        </is>
      </c>
    </row>
    <row r="73" ht="18" customHeight="1">
      <c r="B73" s="33" t="inlineStr">
        <is>
          <t>NOTES</t>
        </is>
      </c>
      <c r="C73" s="34" t="n"/>
    </row>
    <row r="74" ht="18" customHeight="1">
      <c r="B74" s="35" t="inlineStr">
        <is>
          <t>•  Activation Date — Friday, July 17, 2026 (primary) / Saturday, July 18, 2026 (backup)</t>
        </is>
      </c>
    </row>
    <row r="75" ht="18" customHeight="1">
      <c r="B75" s="35" t="inlineStr">
        <is>
          <t>•  Venue — Lincoln Road Mall, Miami Beach (precise pitch TBC; Agora recommendation: Euclid Oval, 1100 block)</t>
        </is>
      </c>
    </row>
    <row r="76" ht="18" customHeight="1">
      <c r="B76" s="35" t="inlineStr">
        <is>
          <t>•  Post-Activation — Light cosmetic touchup at Agora NYC staging facility + return logistics to a NYC handoff destination by August 1, 2026</t>
        </is>
      </c>
    </row>
    <row r="77" ht="18" customHeight="1">
      <c r="B77" s="35" t="inlineStr">
        <is>
          <t>•  No NYC street activation, no Bond St in-store presence, no respray/rewrap package in V3.0</t>
        </is>
      </c>
    </row>
    <row r="78" ht="18" customHeight="1">
      <c r="B78" s="35" t="inlineStr">
        <is>
          <t>•  Booth construction — Painted pink interior throughout (V3 — replaces vinyl lining for durability and finish quality)</t>
        </is>
      </c>
    </row>
    <row r="79" ht="18" customHeight="1">
      <c r="B79" s="35" t="inlineStr">
        <is>
          <t>•  Reference document — Gymshark Phone Box Proposal V3.0 (April 29, 2026)</t>
        </is>
      </c>
    </row>
    <row r="81" ht="6" customHeight="1">
      <c r="A81" s="1" t="inlineStr"/>
      <c r="B81" s="1" t="inlineStr"/>
      <c r="C81" s="1" t="inlineStr"/>
      <c r="D81" s="1" t="inlineStr"/>
    </row>
    <row r="82" ht="14" customHeight="1">
      <c r="B82" s="36" t="inlineStr">
        <is>
          <t>Agora Graphics, LLC  •  Building Brand Environments Since 2006  •  Confidential &amp; Proprietary</t>
        </is>
      </c>
      <c r="C82" s="37" t="inlineStr">
        <is>
          <t>Document GS-PHONEBOX-001 V3.0</t>
        </is>
      </c>
    </row>
  </sheetData>
  <mergeCells count="1">
    <mergeCell ref="B4"/>
  </mergeCells>
  <printOptions horizontalCentered="1"/>
  <pageMargins left="0.5" right="0.5" top="0.5" bottom="0.5" header="0.5" footer="0.5"/>
  <pageSetup orientation="portrait" paperSize="1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2026-05-05T18:29:48Z</dcterms:created>
  <dcterms:modified xmlns:dcterms="http://purl.org/dc/terms/" xmlns:xsi="http://www.w3.org/2001/XMLSchema-instance" xsi:type="dcterms:W3CDTF">2026-05-05T18:29:48Z</dcterms:modified>
</cp:coreProperties>
</file>